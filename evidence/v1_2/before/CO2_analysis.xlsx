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Dataset">Data!$A$1:$C$68</definedName>
    <definedName name="SummaryValues">Summary!$A$1:$C$9</definedName>
    <definedName name="DecadeMeans">Summary!$A$1:$B$9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(ppm)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'Data'!$A$2:$A$68</f>
            </numRef>
          </cat>
          <val>
            <numRef>
              <f>'Data'!$B$2:$B$68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CO2 (ppm) by decade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'Summary'!$A$2:$A$9</f>
            </numRef>
          </cat>
          <val>
            <numRef>
              <f>'Summary'!$B$2:$B$9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(ppm)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C68" headerRowCount="1">
  <autoFilter ref="A1:C68"/>
  <tableColumns count="3">
    <tableColumn id="1" name="year"/>
    <tableColumn id="2" name="CO2 (ppm)"/>
    <tableColumn id="3" name="Chan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CO2 (ppm)</t>
        </is>
      </c>
      <c r="C1" s="1" t="inlineStr">
        <is>
          <t>Change</t>
        </is>
      </c>
    </row>
    <row r="2">
      <c r="A2" t="n">
        <v>1959</v>
      </c>
      <c r="B2" s="2" t="n">
        <v>315.98</v>
      </c>
      <c r="C2" s="2" t="n"/>
    </row>
    <row r="3">
      <c r="A3" t="n">
        <v>1960</v>
      </c>
      <c r="B3" s="2" t="n">
        <v>316.91</v>
      </c>
      <c r="C3" s="2">
        <f>B3-B2</f>
        <v/>
      </c>
    </row>
    <row r="4">
      <c r="A4" t="n">
        <v>1961</v>
      </c>
      <c r="B4" s="2" t="n">
        <v>317.64</v>
      </c>
      <c r="C4" s="2">
        <f>B4-B3</f>
        <v/>
      </c>
    </row>
    <row r="5">
      <c r="A5" t="n">
        <v>1962</v>
      </c>
      <c r="B5" s="2" t="n">
        <v>318.45</v>
      </c>
      <c r="C5" s="2">
        <f>B5-B4</f>
        <v/>
      </c>
    </row>
    <row r="6">
      <c r="A6" t="n">
        <v>1963</v>
      </c>
      <c r="B6" s="2" t="n">
        <v>318.99</v>
      </c>
      <c r="C6" s="2">
        <f>B6-B5</f>
        <v/>
      </c>
    </row>
    <row r="7">
      <c r="A7" t="n">
        <v>1964</v>
      </c>
      <c r="B7" s="2" t="n">
        <v>319.62</v>
      </c>
      <c r="C7" s="2">
        <f>B7-B6</f>
        <v/>
      </c>
    </row>
    <row r="8">
      <c r="A8" t="n">
        <v>1965</v>
      </c>
      <c r="B8" s="2" t="n">
        <v>320.04</v>
      </c>
      <c r="C8" s="2">
        <f>B8-B7</f>
        <v/>
      </c>
    </row>
    <row r="9">
      <c r="A9" t="n">
        <v>1966</v>
      </c>
      <c r="B9" s="2" t="n">
        <v>321.37</v>
      </c>
      <c r="C9" s="2">
        <f>B9-B8</f>
        <v/>
      </c>
    </row>
    <row r="10">
      <c r="A10" t="n">
        <v>1967</v>
      </c>
      <c r="B10" s="2" t="n">
        <v>322.18</v>
      </c>
      <c r="C10" s="2">
        <f>B10-B9</f>
        <v/>
      </c>
    </row>
    <row r="11">
      <c r="A11" t="n">
        <v>1968</v>
      </c>
      <c r="B11" s="2" t="n">
        <v>323.05</v>
      </c>
      <c r="C11" s="2">
        <f>B11-B10</f>
        <v/>
      </c>
    </row>
    <row r="12">
      <c r="A12" t="n">
        <v>1969</v>
      </c>
      <c r="B12" s="2" t="n">
        <v>324.62</v>
      </c>
      <c r="C12" s="2">
        <f>B12-B11</f>
        <v/>
      </c>
    </row>
    <row r="13">
      <c r="A13" t="n">
        <v>1970</v>
      </c>
      <c r="B13" s="2" t="n">
        <v>325.68</v>
      </c>
      <c r="C13" s="2">
        <f>B13-B12</f>
        <v/>
      </c>
    </row>
    <row r="14">
      <c r="A14" t="n">
        <v>1971</v>
      </c>
      <c r="B14" s="2" t="n">
        <v>326.32</v>
      </c>
      <c r="C14" s="2">
        <f>B14-B13</f>
        <v/>
      </c>
    </row>
    <row r="15">
      <c r="A15" t="n">
        <v>1972</v>
      </c>
      <c r="B15" s="2" t="n">
        <v>327.46</v>
      </c>
      <c r="C15" s="2">
        <f>B15-B14</f>
        <v/>
      </c>
    </row>
    <row r="16">
      <c r="A16" t="n">
        <v>1973</v>
      </c>
      <c r="B16" s="2" t="n">
        <v>329.68</v>
      </c>
      <c r="C16" s="2">
        <f>B16-B15</f>
        <v/>
      </c>
    </row>
    <row r="17">
      <c r="A17" t="n">
        <v>1974</v>
      </c>
      <c r="B17" s="2" t="n">
        <v>330.19</v>
      </c>
      <c r="C17" s="2">
        <f>B17-B16</f>
        <v/>
      </c>
    </row>
    <row r="18">
      <c r="A18" t="n">
        <v>1975</v>
      </c>
      <c r="B18" s="2" t="n">
        <v>331.13</v>
      </c>
      <c r="C18" s="2">
        <f>B18-B17</f>
        <v/>
      </c>
    </row>
    <row r="19">
      <c r="A19" t="n">
        <v>1976</v>
      </c>
      <c r="B19" s="2" t="n">
        <v>332.03</v>
      </c>
      <c r="C19" s="2">
        <f>B19-B18</f>
        <v/>
      </c>
    </row>
    <row r="20">
      <c r="A20" t="n">
        <v>1977</v>
      </c>
      <c r="B20" s="2" t="n">
        <v>333.84</v>
      </c>
      <c r="C20" s="2">
        <f>B20-B19</f>
        <v/>
      </c>
    </row>
    <row r="21">
      <c r="A21" t="n">
        <v>1978</v>
      </c>
      <c r="B21" s="2" t="n">
        <v>335.41</v>
      </c>
      <c r="C21" s="2">
        <f>B21-B20</f>
        <v/>
      </c>
    </row>
    <row r="22">
      <c r="A22" t="n">
        <v>1979</v>
      </c>
      <c r="B22" s="2" t="n">
        <v>336.84</v>
      </c>
      <c r="C22" s="2">
        <f>B22-B21</f>
        <v/>
      </c>
    </row>
    <row r="23">
      <c r="A23" t="n">
        <v>1980</v>
      </c>
      <c r="B23" s="2" t="n">
        <v>338.76</v>
      </c>
      <c r="C23" s="2">
        <f>B23-B22</f>
        <v/>
      </c>
    </row>
    <row r="24">
      <c r="A24" t="n">
        <v>1981</v>
      </c>
      <c r="B24" s="2" t="n">
        <v>340.12</v>
      </c>
      <c r="C24" s="2">
        <f>B24-B23</f>
        <v/>
      </c>
    </row>
    <row r="25">
      <c r="A25" t="n">
        <v>1982</v>
      </c>
      <c r="B25" s="2" t="n">
        <v>341.48</v>
      </c>
      <c r="C25" s="2">
        <f>B25-B24</f>
        <v/>
      </c>
    </row>
    <row r="26">
      <c r="A26" t="n">
        <v>1983</v>
      </c>
      <c r="B26" s="2" t="n">
        <v>343.15</v>
      </c>
      <c r="C26" s="2">
        <f>B26-B25</f>
        <v/>
      </c>
    </row>
    <row r="27">
      <c r="A27" t="n">
        <v>1984</v>
      </c>
      <c r="B27" s="2" t="n">
        <v>344.87</v>
      </c>
      <c r="C27" s="2">
        <f>B27-B26</f>
        <v/>
      </c>
    </row>
    <row r="28">
      <c r="A28" t="n">
        <v>1985</v>
      </c>
      <c r="B28" s="2" t="n">
        <v>346.35</v>
      </c>
      <c r="C28" s="2">
        <f>B28-B27</f>
        <v/>
      </c>
    </row>
    <row r="29">
      <c r="A29" t="n">
        <v>1986</v>
      </c>
      <c r="B29" s="2" t="n">
        <v>347.61</v>
      </c>
      <c r="C29" s="2">
        <f>B29-B28</f>
        <v/>
      </c>
    </row>
    <row r="30">
      <c r="A30" t="n">
        <v>1987</v>
      </c>
      <c r="B30" s="2" t="n">
        <v>349.31</v>
      </c>
      <c r="C30" s="2">
        <f>B30-B29</f>
        <v/>
      </c>
    </row>
    <row r="31">
      <c r="A31" t="n">
        <v>1988</v>
      </c>
      <c r="B31" s="2" t="n">
        <v>351.69</v>
      </c>
      <c r="C31" s="2">
        <f>B31-B30</f>
        <v/>
      </c>
    </row>
    <row r="32">
      <c r="A32" t="n">
        <v>1989</v>
      </c>
      <c r="B32" s="2" t="n">
        <v>353.2</v>
      </c>
      <c r="C32" s="2">
        <f>B32-B31</f>
        <v/>
      </c>
    </row>
    <row r="33">
      <c r="A33" t="n">
        <v>1990</v>
      </c>
      <c r="B33" s="2" t="n">
        <v>354.45</v>
      </c>
      <c r="C33" s="2">
        <f>B33-B32</f>
        <v/>
      </c>
    </row>
    <row r="34">
      <c r="A34" t="n">
        <v>1991</v>
      </c>
      <c r="B34" s="2" t="n">
        <v>355.7</v>
      </c>
      <c r="C34" s="2">
        <f>B34-B33</f>
        <v/>
      </c>
    </row>
    <row r="35">
      <c r="A35" t="n">
        <v>1992</v>
      </c>
      <c r="B35" s="2" t="n">
        <v>356.54</v>
      </c>
      <c r="C35" s="2">
        <f>B35-B34</f>
        <v/>
      </c>
    </row>
    <row r="36">
      <c r="A36" t="n">
        <v>1993</v>
      </c>
      <c r="B36" s="2" t="n">
        <v>357.21</v>
      </c>
      <c r="C36" s="2">
        <f>B36-B35</f>
        <v/>
      </c>
    </row>
    <row r="37">
      <c r="A37" t="n">
        <v>1994</v>
      </c>
      <c r="B37" s="2" t="n">
        <v>358.96</v>
      </c>
      <c r="C37" s="2">
        <f>B37-B36</f>
        <v/>
      </c>
    </row>
    <row r="38">
      <c r="A38" t="n">
        <v>1995</v>
      </c>
      <c r="B38" s="2" t="n">
        <v>360.97</v>
      </c>
      <c r="C38" s="2">
        <f>B38-B37</f>
        <v/>
      </c>
    </row>
    <row r="39">
      <c r="A39" t="n">
        <v>1996</v>
      </c>
      <c r="B39" s="2" t="n">
        <v>362.74</v>
      </c>
      <c r="C39" s="2">
        <f>B39-B38</f>
        <v/>
      </c>
    </row>
    <row r="40">
      <c r="A40" t="n">
        <v>1997</v>
      </c>
      <c r="B40" s="2" t="n">
        <v>363.88</v>
      </c>
      <c r="C40" s="2">
        <f>B40-B39</f>
        <v/>
      </c>
    </row>
    <row r="41">
      <c r="A41" t="n">
        <v>1998</v>
      </c>
      <c r="B41" s="2" t="n">
        <v>366.84</v>
      </c>
      <c r="C41" s="2">
        <f>B41-B40</f>
        <v/>
      </c>
    </row>
    <row r="42">
      <c r="A42" t="n">
        <v>1999</v>
      </c>
      <c r="B42" s="2" t="n">
        <v>368.54</v>
      </c>
      <c r="C42" s="2">
        <f>B42-B41</f>
        <v/>
      </c>
    </row>
    <row r="43">
      <c r="A43" t="n">
        <v>2000</v>
      </c>
      <c r="B43" s="2" t="n">
        <v>369.71</v>
      </c>
      <c r="C43" s="2">
        <f>B43-B42</f>
        <v/>
      </c>
    </row>
    <row r="44">
      <c r="A44" t="n">
        <v>2001</v>
      </c>
      <c r="B44" s="2" t="n">
        <v>371.32</v>
      </c>
      <c r="C44" s="2">
        <f>B44-B43</f>
        <v/>
      </c>
    </row>
    <row r="45">
      <c r="A45" t="n">
        <v>2002</v>
      </c>
      <c r="B45" s="2" t="n">
        <v>373.45</v>
      </c>
      <c r="C45" s="2">
        <f>B45-B44</f>
        <v/>
      </c>
    </row>
    <row r="46">
      <c r="A46" t="n">
        <v>2003</v>
      </c>
      <c r="B46" s="2" t="n">
        <v>375.98</v>
      </c>
      <c r="C46" s="2">
        <f>B46-B45</f>
        <v/>
      </c>
    </row>
    <row r="47">
      <c r="A47" t="n">
        <v>2004</v>
      </c>
      <c r="B47" s="2" t="n">
        <v>377.7</v>
      </c>
      <c r="C47" s="2">
        <f>B47-B46</f>
        <v/>
      </c>
    </row>
    <row r="48">
      <c r="A48" t="n">
        <v>2005</v>
      </c>
      <c r="B48" s="2" t="n">
        <v>379.98</v>
      </c>
      <c r="C48" s="2">
        <f>B48-B47</f>
        <v/>
      </c>
    </row>
    <row r="49">
      <c r="A49" t="n">
        <v>2006</v>
      </c>
      <c r="B49" s="2" t="n">
        <v>382.09</v>
      </c>
      <c r="C49" s="2">
        <f>B49-B48</f>
        <v/>
      </c>
    </row>
    <row r="50">
      <c r="A50" t="n">
        <v>2007</v>
      </c>
      <c r="B50" s="2" t="n">
        <v>384.02</v>
      </c>
      <c r="C50" s="2">
        <f>B50-B49</f>
        <v/>
      </c>
    </row>
    <row r="51">
      <c r="A51" t="n">
        <v>2008</v>
      </c>
      <c r="B51" s="2" t="n">
        <v>385.83</v>
      </c>
      <c r="C51" s="2">
        <f>B51-B50</f>
        <v/>
      </c>
    </row>
    <row r="52">
      <c r="A52" t="n">
        <v>2009</v>
      </c>
      <c r="B52" s="2" t="n">
        <v>387.64</v>
      </c>
      <c r="C52" s="2">
        <f>B52-B51</f>
        <v/>
      </c>
    </row>
    <row r="53">
      <c r="A53" t="n">
        <v>2010</v>
      </c>
      <c r="B53" s="2" t="n">
        <v>390.1</v>
      </c>
      <c r="C53" s="2">
        <f>B53-B52</f>
        <v/>
      </c>
    </row>
    <row r="54">
      <c r="A54" t="n">
        <v>2011</v>
      </c>
      <c r="B54" s="2" t="n">
        <v>391.85</v>
      </c>
      <c r="C54" s="2">
        <f>B54-B53</f>
        <v/>
      </c>
    </row>
    <row r="55">
      <c r="A55" t="n">
        <v>2012</v>
      </c>
      <c r="B55" s="2" t="n">
        <v>394.06</v>
      </c>
      <c r="C55" s="2">
        <f>B55-B54</f>
        <v/>
      </c>
    </row>
    <row r="56">
      <c r="A56" t="n">
        <v>2013</v>
      </c>
      <c r="B56" s="2" t="n">
        <v>396.74</v>
      </c>
      <c r="C56" s="2">
        <f>B56-B55</f>
        <v/>
      </c>
    </row>
    <row r="57">
      <c r="A57" t="n">
        <v>2014</v>
      </c>
      <c r="B57" s="2" t="n">
        <v>398.81</v>
      </c>
      <c r="C57" s="2">
        <f>B57-B56</f>
        <v/>
      </c>
    </row>
    <row r="58">
      <c r="A58" t="n">
        <v>2015</v>
      </c>
      <c r="B58" s="2" t="n">
        <v>401.01</v>
      </c>
      <c r="C58" s="2">
        <f>B58-B57</f>
        <v/>
      </c>
    </row>
    <row r="59">
      <c r="A59" t="n">
        <v>2016</v>
      </c>
      <c r="B59" s="2" t="n">
        <v>404.41</v>
      </c>
      <c r="C59" s="2">
        <f>B59-B58</f>
        <v/>
      </c>
    </row>
    <row r="60">
      <c r="A60" t="n">
        <v>2017</v>
      </c>
      <c r="B60" s="2" t="n">
        <v>406.76</v>
      </c>
      <c r="C60" s="2">
        <f>B60-B59</f>
        <v/>
      </c>
    </row>
    <row r="61">
      <c r="A61" t="n">
        <v>2018</v>
      </c>
      <c r="B61" s="2" t="n">
        <v>408.72</v>
      </c>
      <c r="C61" s="2">
        <f>B61-B60</f>
        <v/>
      </c>
    </row>
    <row r="62">
      <c r="A62" t="n">
        <v>2019</v>
      </c>
      <c r="B62" s="2" t="n">
        <v>411.65</v>
      </c>
      <c r="C62" s="2">
        <f>B62-B61</f>
        <v/>
      </c>
    </row>
    <row r="63">
      <c r="A63" t="n">
        <v>2020</v>
      </c>
      <c r="B63" s="2" t="n">
        <v>414.21</v>
      </c>
      <c r="C63" s="2">
        <f>B63-B62</f>
        <v/>
      </c>
    </row>
    <row r="64">
      <c r="A64" t="n">
        <v>2021</v>
      </c>
      <c r="B64" s="2" t="n">
        <v>416.41</v>
      </c>
      <c r="C64" s="2">
        <f>B64-B63</f>
        <v/>
      </c>
    </row>
    <row r="65">
      <c r="A65" t="n">
        <v>2022</v>
      </c>
      <c r="B65" s="2" t="n">
        <v>418.53</v>
      </c>
      <c r="C65" s="2">
        <f>B65-B64</f>
        <v/>
      </c>
    </row>
    <row r="66">
      <c r="A66" t="n">
        <v>2023</v>
      </c>
      <c r="B66" s="2" t="n">
        <v>421.08</v>
      </c>
      <c r="C66" s="2">
        <f>B66-B65</f>
        <v/>
      </c>
    </row>
    <row r="67">
      <c r="A67" t="n">
        <v>2024</v>
      </c>
      <c r="B67" s="2" t="n">
        <v>424.61</v>
      </c>
      <c r="C67" s="2">
        <f>B67-B66</f>
        <v/>
      </c>
    </row>
    <row r="68">
      <c r="A68" t="n">
        <v>2025</v>
      </c>
      <c r="B68" s="2" t="n">
        <v>427.35</v>
      </c>
      <c r="C68" s="2">
        <f>B68-B67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Decade</t>
        </is>
      </c>
      <c r="B1" s="1" t="inlineStr">
        <is>
          <t>Mean CO2 (ppm)</t>
        </is>
      </c>
      <c r="C1" s="1" t="inlineStr">
        <is>
          <t>Change vs previous decade</t>
        </is>
      </c>
    </row>
    <row r="2">
      <c r="A2" t="inlineStr">
        <is>
          <t>1950s</t>
        </is>
      </c>
      <c r="B2" s="2">
        <f>AVERAGEIFS(Data!$B$2:$B$68,Data!$A$2:$A$68,"&gt;=1950",Data!$A$2:$A$68,"&lt;1960")</f>
        <v/>
      </c>
      <c r="C2" s="2" t="n"/>
    </row>
    <row r="3">
      <c r="A3" t="inlineStr">
        <is>
          <t>1960s</t>
        </is>
      </c>
      <c r="B3" s="2">
        <f>AVERAGEIFS(Data!$B$2:$B$68,Data!$A$2:$A$68,"&gt;=1960",Data!$A$2:$A$68,"&lt;1970")</f>
        <v/>
      </c>
      <c r="C3" s="2">
        <f>B3-B2</f>
        <v/>
      </c>
    </row>
    <row r="4">
      <c r="A4" t="inlineStr">
        <is>
          <t>1970s</t>
        </is>
      </c>
      <c r="B4" s="2">
        <f>AVERAGEIFS(Data!$B$2:$B$68,Data!$A$2:$A$68,"&gt;=1970",Data!$A$2:$A$68,"&lt;1980")</f>
        <v/>
      </c>
      <c r="C4" s="2">
        <f>B4-B3</f>
        <v/>
      </c>
    </row>
    <row r="5">
      <c r="A5" t="inlineStr">
        <is>
          <t>1980s</t>
        </is>
      </c>
      <c r="B5" s="2">
        <f>AVERAGEIFS(Data!$B$2:$B$68,Data!$A$2:$A$68,"&gt;=1980",Data!$A$2:$A$68,"&lt;1990")</f>
        <v/>
      </c>
      <c r="C5" s="2">
        <f>B5-B4</f>
        <v/>
      </c>
    </row>
    <row r="6">
      <c r="A6" t="inlineStr">
        <is>
          <t>1990s</t>
        </is>
      </c>
      <c r="B6" s="2">
        <f>AVERAGEIFS(Data!$B$2:$B$68,Data!$A$2:$A$68,"&gt;=1990",Data!$A$2:$A$68,"&lt;2000")</f>
        <v/>
      </c>
      <c r="C6" s="2">
        <f>B6-B5</f>
        <v/>
      </c>
    </row>
    <row r="7">
      <c r="A7" t="inlineStr">
        <is>
          <t>2000s</t>
        </is>
      </c>
      <c r="B7" s="2">
        <f>AVERAGEIFS(Data!$B$2:$B$68,Data!$A$2:$A$68,"&gt;=2000",Data!$A$2:$A$68,"&lt;2010")</f>
        <v/>
      </c>
      <c r="C7" s="2">
        <f>B7-B6</f>
        <v/>
      </c>
    </row>
    <row r="8">
      <c r="A8" t="inlineStr">
        <is>
          <t>2010s</t>
        </is>
      </c>
      <c r="B8" s="2">
        <f>AVERAGEIFS(Data!$B$2:$B$68,Data!$A$2:$A$68,"&gt;=2010",Data!$A$2:$A$68,"&lt;2020")</f>
        <v/>
      </c>
      <c r="C8" s="2">
        <f>B8-B7</f>
        <v/>
      </c>
    </row>
    <row r="9">
      <c r="A9" t="inlineStr">
        <is>
          <t>2020s</t>
        </is>
      </c>
      <c r="B9" s="2">
        <f>AVERAGEIFS(Data!$B$2:$B$68,Data!$A$2:$A$68,"&gt;=2020",Data!$A$2:$A$68,"&lt;2030")</f>
        <v/>
      </c>
      <c r="C9" s="2">
        <f>B9-B8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2026-10-08T20:05:56Z</dcterms:created>
  <dcterms:modified xmlns:dcterms="http://purl.org/dc/terms/" xmlns:xsi="http://www.w3.org/2001/XMLSchema-instance" xsi:type="dcterms:W3CDTF">2026-10-08T20:06:01Z</dcterms:modified>
</cp:coreProperties>
</file>